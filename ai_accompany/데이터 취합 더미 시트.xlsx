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진척도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6" customWidth="1" min="4" max="4"/>
    <col width="26" customWidth="1" min="5" max="5"/>
    <col width="13" customWidth="1" min="6" max="6"/>
    <col width="4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8" customWidth="1" min="14" max="14"/>
    <col width="40" customWidth="1" min="15" max="15"/>
  </cols>
  <sheetData>
    <row r="1" ht="22" customHeight="1">
      <c r="A1" s="1" t="inlineStr">
        <is>
          <t>기본정보</t>
        </is>
      </c>
      <c r="B1" s="2" t="n"/>
      <c r="C1" s="2" t="n"/>
      <c r="D1" s="2" t="n"/>
      <c r="E1" s="2" t="n"/>
      <c r="F1" s="2" t="n"/>
      <c r="G1" s="3" t="n"/>
      <c r="H1" s="1" t="inlineStr">
        <is>
          <t>진척도(%)</t>
        </is>
      </c>
      <c r="I1" s="2" t="n"/>
      <c r="J1" s="2" t="n"/>
      <c r="K1" s="2" t="n"/>
      <c r="L1" s="2" t="n"/>
      <c r="M1" s="3" t="n"/>
      <c r="N1" s="1" t="inlineStr">
        <is>
          <t>종합</t>
        </is>
      </c>
      <c r="O1" s="3" t="n"/>
    </row>
    <row r="2" ht="28" customHeight="1">
      <c r="A2" s="4" t="inlineStr">
        <is>
          <t>Team_ID</t>
        </is>
      </c>
      <c r="B2" s="4" t="inlineStr">
        <is>
          <t>Region</t>
        </is>
      </c>
      <c r="C2" s="4" t="inlineStr">
        <is>
          <t>School_Name</t>
        </is>
      </c>
      <c r="D2" s="4" t="inlineStr">
        <is>
          <t>Team_Name</t>
        </is>
      </c>
      <c r="E2" s="4" t="inlineStr">
        <is>
          <t>Project_Theme</t>
        </is>
      </c>
      <c r="F2" s="4" t="inlineStr">
        <is>
          <t>Last_Updated</t>
        </is>
      </c>
      <c r="G2" s="4" t="inlineStr">
        <is>
          <t>Doc_URL</t>
        </is>
      </c>
      <c r="H2" s="4" t="inlineStr">
        <is>
          <t>M1_Status</t>
        </is>
      </c>
      <c r="I2" s="4" t="inlineStr">
        <is>
          <t>M2_Status</t>
        </is>
      </c>
      <c r="J2" s="4" t="inlineStr">
        <is>
          <t>M3_Status</t>
        </is>
      </c>
      <c r="K2" s="4" t="inlineStr">
        <is>
          <t>M4_Status</t>
        </is>
      </c>
      <c r="L2" s="4" t="inlineStr">
        <is>
          <t>M5_Status</t>
        </is>
      </c>
      <c r="M2" s="4" t="inlineStr">
        <is>
          <t>Progress_Total</t>
        </is>
      </c>
      <c r="N2" s="4" t="inlineStr">
        <is>
          <t>Risk_Flag</t>
        </is>
      </c>
      <c r="O2" s="4" t="inlineStr">
        <is>
          <t>Teacher_Note</t>
        </is>
      </c>
    </row>
    <row r="3" ht="26" customHeight="1">
      <c r="A3" s="5" t="inlineStr">
        <is>
          <t>T-서울-01-01</t>
        </is>
      </c>
      <c r="B3" s="5" t="inlineStr">
        <is>
          <t>서울</t>
        </is>
      </c>
      <c r="C3" s="5" t="inlineStr">
        <is>
          <t>서울 디지털중학교</t>
        </is>
      </c>
      <c r="D3" s="5" t="inlineStr">
        <is>
          <t>AI 패트롤 1팀</t>
        </is>
      </c>
      <c r="E3" s="5" t="inlineStr">
        <is>
          <t>가스 감지 AI 순찰 로봇</t>
        </is>
      </c>
      <c r="F3" s="5" t="inlineStr">
        <is>
          <t>2026-04-04</t>
        </is>
      </c>
      <c r="G3" s="5" t="inlineStr">
        <is>
          <t>https://docs.google.com/document/d/dummy_T-서울-01-01</t>
        </is>
      </c>
      <c r="H3" s="5" t="n">
        <v>53</v>
      </c>
      <c r="I3" s="5" t="n">
        <v>51</v>
      </c>
      <c r="J3" s="5" t="n">
        <v>52</v>
      </c>
      <c r="K3" s="5" t="n">
        <v>18</v>
      </c>
      <c r="L3" s="5" t="n">
        <v>44</v>
      </c>
      <c r="M3" s="5">
        <f>ROUND(AVERAGE(H3:L3),1)</f>
        <v/>
      </c>
      <c r="N3" s="6" t="inlineStr">
        <is>
          <t>위험</t>
        </is>
      </c>
      <c r="O3" s="7" t="inlineStr">
        <is>
          <t>팀 내 역할 분담 미정, 조율 지원 필요</t>
        </is>
      </c>
    </row>
    <row r="4" ht="26" customHeight="1">
      <c r="A4" s="8" t="inlineStr">
        <is>
          <t>T-서울-01-02</t>
        </is>
      </c>
      <c r="B4" s="8" t="inlineStr">
        <is>
          <t>서울</t>
        </is>
      </c>
      <c r="C4" s="8" t="inlineStr">
        <is>
          <t>서울 디지털중학교</t>
        </is>
      </c>
      <c r="D4" s="8" t="inlineStr">
        <is>
          <t>해치 2팀</t>
        </is>
      </c>
      <c r="E4" s="8" t="inlineStr">
        <is>
          <t>시각장애인 안내 AI 반려견</t>
        </is>
      </c>
      <c r="F4" s="8" t="inlineStr">
        <is>
          <t>2026-04-14</t>
        </is>
      </c>
      <c r="G4" s="8" t="inlineStr">
        <is>
          <t>https://docs.google.com/document/d/dummy_T-서울-01-02</t>
        </is>
      </c>
      <c r="H4" s="8" t="n">
        <v>48</v>
      </c>
      <c r="I4" s="8" t="n">
        <v>40</v>
      </c>
      <c r="J4" s="8" t="n">
        <v>32</v>
      </c>
      <c r="K4" s="8" t="n">
        <v>23</v>
      </c>
      <c r="L4" s="8" t="n">
        <v>0</v>
      </c>
      <c r="M4" s="8">
        <f>ROUND(AVERAGE(H4:L4),1)</f>
        <v/>
      </c>
      <c r="N4" s="9" t="inlineStr">
        <is>
          <t>주의</t>
        </is>
      </c>
      <c r="O4" s="10" t="inlineStr">
        <is>
          <t>진도 다소 지연, 이번 주 체크인 예정</t>
        </is>
      </c>
    </row>
    <row r="5" ht="26" customHeight="1">
      <c r="A5" s="5" t="inlineStr">
        <is>
          <t>T-서울-01-03</t>
        </is>
      </c>
      <c r="B5" s="5" t="inlineStr">
        <is>
          <t>서울</t>
        </is>
      </c>
      <c r="C5" s="5" t="inlineStr">
        <is>
          <t>서울 디지털중학교</t>
        </is>
      </c>
      <c r="D5" s="5" t="inlineStr">
        <is>
          <t>에코봇 3팀</t>
        </is>
      </c>
      <c r="E5" s="5" t="inlineStr">
        <is>
          <t>학교 쓰레기 분류 자동화 로봇</t>
        </is>
      </c>
      <c r="F5" s="5" t="inlineStr">
        <is>
          <t>2026-04-06</t>
        </is>
      </c>
      <c r="G5" s="5" t="inlineStr">
        <is>
          <t>https://docs.google.com/document/d/dummy_T-서울-01-03</t>
        </is>
      </c>
      <c r="H5" s="5" t="n">
        <v>69</v>
      </c>
      <c r="I5" s="5" t="n">
        <v>63</v>
      </c>
      <c r="J5" s="5" t="n">
        <v>51</v>
      </c>
      <c r="K5" s="5" t="n">
        <v>38</v>
      </c>
      <c r="L5" s="5" t="n">
        <v>26</v>
      </c>
      <c r="M5" s="5">
        <f>ROUND(AVERAGE(H5:L5),1)</f>
        <v/>
      </c>
      <c r="N5" s="6" t="inlineStr">
        <is>
          <t>위험</t>
        </is>
      </c>
      <c r="O5" s="7" t="inlineStr">
        <is>
          <t>M2 기능 우선순위표 미완성, 보완 지도 요청</t>
        </is>
      </c>
    </row>
    <row r="6" ht="26" customHeight="1">
      <c r="A6" s="8" t="inlineStr">
        <is>
          <t>T-서울-01-04</t>
        </is>
      </c>
      <c r="B6" s="8" t="inlineStr">
        <is>
          <t>서울</t>
        </is>
      </c>
      <c r="C6" s="8" t="inlineStr">
        <is>
          <t>서울 디지털중학교</t>
        </is>
      </c>
      <c r="D6" s="8" t="inlineStr">
        <is>
          <t>세이프티 4팀</t>
        </is>
      </c>
      <c r="E6" s="8" t="inlineStr">
        <is>
          <t>교내 낙상 감지 알림 시스템</t>
        </is>
      </c>
      <c r="F6" s="8" t="inlineStr">
        <is>
          <t>2026-04-10</t>
        </is>
      </c>
      <c r="G6" s="8" t="inlineStr">
        <is>
          <t>https://docs.google.com/document/d/dummy_T-서울-01-04</t>
        </is>
      </c>
      <c r="H6" s="8" t="n">
        <v>54</v>
      </c>
      <c r="I6" s="8" t="n">
        <v>57</v>
      </c>
      <c r="J6" s="8" t="n">
        <v>46</v>
      </c>
      <c r="K6" s="8" t="n">
        <v>38</v>
      </c>
      <c r="L6" s="8" t="n">
        <v>17</v>
      </c>
      <c r="M6" s="8">
        <f>ROUND(AVERAGE(H6:L6),1)</f>
        <v/>
      </c>
      <c r="N6" s="9" t="inlineStr">
        <is>
          <t>주의</t>
        </is>
      </c>
      <c r="O6" s="10" t="inlineStr">
        <is>
          <t>M3 진입 예정, 방향성 재확인 권장</t>
        </is>
      </c>
    </row>
    <row r="7" ht="26" customHeight="1">
      <c r="A7" s="5" t="inlineStr">
        <is>
          <t>T-부산-02-01</t>
        </is>
      </c>
      <c r="B7" s="5" t="inlineStr">
        <is>
          <t>부산</t>
        </is>
      </c>
      <c r="C7" s="5" t="inlineStr">
        <is>
          <t>부산 AI창의중학교</t>
        </is>
      </c>
      <c r="D7" s="5" t="inlineStr">
        <is>
          <t>AI 패트롤 1팀</t>
        </is>
      </c>
      <c r="E7" s="5" t="inlineStr">
        <is>
          <t>가스 감지 AI 순찰 로봇</t>
        </is>
      </c>
      <c r="F7" s="5" t="inlineStr">
        <is>
          <t>2026-04-03</t>
        </is>
      </c>
      <c r="G7" s="5" t="inlineStr">
        <is>
          <t>https://docs.google.com/document/d/dummy_T-부산-02-01</t>
        </is>
      </c>
      <c r="H7" s="5" t="n">
        <v>78</v>
      </c>
      <c r="I7" s="5" t="n">
        <v>72</v>
      </c>
      <c r="J7" s="5" t="n">
        <v>58</v>
      </c>
      <c r="K7" s="5" t="n">
        <v>40</v>
      </c>
      <c r="L7" s="5" t="n">
        <v>48</v>
      </c>
      <c r="M7" s="5">
        <f>ROUND(AVERAGE(H7:L7),1)</f>
        <v/>
      </c>
      <c r="N7" s="6" t="inlineStr">
        <is>
          <t>위험</t>
        </is>
      </c>
      <c r="O7" s="7" t="inlineStr">
        <is>
          <t>7일 이상 미업데이트, 팀 연락 요망</t>
        </is>
      </c>
    </row>
    <row r="8" ht="26" customHeight="1">
      <c r="A8" s="8" t="inlineStr">
        <is>
          <t>T-부산-02-02</t>
        </is>
      </c>
      <c r="B8" s="8" t="inlineStr">
        <is>
          <t>부산</t>
        </is>
      </c>
      <c r="C8" s="8" t="inlineStr">
        <is>
          <t>부산 AI창의중학교</t>
        </is>
      </c>
      <c r="D8" s="8" t="inlineStr">
        <is>
          <t>해치 2팀</t>
        </is>
      </c>
      <c r="E8" s="8" t="inlineStr">
        <is>
          <t>시각장애인 안내 AI 반려견</t>
        </is>
      </c>
      <c r="F8" s="8" t="inlineStr">
        <is>
          <t>2026-04-03</t>
        </is>
      </c>
      <c r="G8" s="8" t="inlineStr">
        <is>
          <t>https://docs.google.com/document/d/dummy_T-부산-02-02</t>
        </is>
      </c>
      <c r="H8" s="8" t="n">
        <v>44</v>
      </c>
      <c r="I8" s="8" t="n">
        <v>47</v>
      </c>
      <c r="J8" s="8" t="n">
        <v>49</v>
      </c>
      <c r="K8" s="8" t="n">
        <v>44</v>
      </c>
      <c r="L8" s="8" t="n">
        <v>31</v>
      </c>
      <c r="M8" s="8">
        <f>ROUND(AVERAGE(H8:L8),1)</f>
        <v/>
      </c>
      <c r="N8" s="6" t="inlineStr">
        <is>
          <t>위험</t>
        </is>
      </c>
      <c r="O8" s="10" t="inlineStr">
        <is>
          <t>M2 기능 우선순위표 미완성, 보완 지도 요청</t>
        </is>
      </c>
    </row>
    <row r="9" ht="26" customHeight="1">
      <c r="A9" s="5" t="inlineStr">
        <is>
          <t>T-부산-02-03</t>
        </is>
      </c>
      <c r="B9" s="5" t="inlineStr">
        <is>
          <t>부산</t>
        </is>
      </c>
      <c r="C9" s="5" t="inlineStr">
        <is>
          <t>부산 AI창의중학교</t>
        </is>
      </c>
      <c r="D9" s="5" t="inlineStr">
        <is>
          <t>에코봇 3팀</t>
        </is>
      </c>
      <c r="E9" s="5" t="inlineStr">
        <is>
          <t>학교 쓰레기 분류 자동화 로봇</t>
        </is>
      </c>
      <c r="F9" s="5" t="inlineStr">
        <is>
          <t>2026-04-12</t>
        </is>
      </c>
      <c r="G9" s="5" t="inlineStr">
        <is>
          <t>https://docs.google.com/document/d/dummy_T-부산-02-03</t>
        </is>
      </c>
      <c r="H9" s="5" t="n">
        <v>70</v>
      </c>
      <c r="I9" s="5" t="n">
        <v>59</v>
      </c>
      <c r="J9" s="5" t="n">
        <v>41</v>
      </c>
      <c r="K9" s="5" t="n">
        <v>42</v>
      </c>
      <c r="L9" s="5" t="n">
        <v>25</v>
      </c>
      <c r="M9" s="5">
        <f>ROUND(AVERAGE(H9:L9),1)</f>
        <v/>
      </c>
      <c r="N9" s="9" t="inlineStr">
        <is>
          <t>주의</t>
        </is>
      </c>
      <c r="O9" s="7" t="inlineStr">
        <is>
          <t>M3 진입 예정, 방향성 재확인 권장</t>
        </is>
      </c>
    </row>
    <row r="10" ht="26" customHeight="1">
      <c r="A10" s="8" t="inlineStr">
        <is>
          <t>T-부산-02-04</t>
        </is>
      </c>
      <c r="B10" s="8" t="inlineStr">
        <is>
          <t>부산</t>
        </is>
      </c>
      <c r="C10" s="8" t="inlineStr">
        <is>
          <t>부산 AI창의중학교</t>
        </is>
      </c>
      <c r="D10" s="8" t="inlineStr">
        <is>
          <t>세이프티 4팀</t>
        </is>
      </c>
      <c r="E10" s="8" t="inlineStr">
        <is>
          <t>교내 낙상 감지 알림 시스템</t>
        </is>
      </c>
      <c r="F10" s="8" t="inlineStr">
        <is>
          <t>2026-04-06</t>
        </is>
      </c>
      <c r="G10" s="8" t="inlineStr">
        <is>
          <t>https://docs.google.com/document/d/dummy_T-부산-02-04</t>
        </is>
      </c>
      <c r="H10" s="8" t="n">
        <v>94</v>
      </c>
      <c r="I10" s="8" t="n">
        <v>83</v>
      </c>
      <c r="J10" s="8" t="n">
        <v>78</v>
      </c>
      <c r="K10" s="8" t="n">
        <v>55</v>
      </c>
      <c r="L10" s="8" t="n">
        <v>72</v>
      </c>
      <c r="M10" s="8">
        <f>ROUND(AVERAGE(H10:L10),1)</f>
        <v/>
      </c>
      <c r="N10" s="6" t="inlineStr">
        <is>
          <t>위험</t>
        </is>
      </c>
      <c r="O10" s="10" t="inlineStr">
        <is>
          <t>M2 기능 우선순위표 미완성, 보완 지도 요청</t>
        </is>
      </c>
    </row>
    <row r="11" ht="26" customHeight="1">
      <c r="A11" s="5" t="inlineStr">
        <is>
          <t>T-대구-03-01</t>
        </is>
      </c>
      <c r="B11" s="5" t="inlineStr">
        <is>
          <t>대구</t>
        </is>
      </c>
      <c r="C11" s="5" t="inlineStr">
        <is>
          <t>대구 미래중학교</t>
        </is>
      </c>
      <c r="D11" s="5" t="inlineStr">
        <is>
          <t>AI 패트롤 1팀</t>
        </is>
      </c>
      <c r="E11" s="5" t="inlineStr">
        <is>
          <t>가스 감지 AI 순찰 로봇</t>
        </is>
      </c>
      <c r="F11" s="5" t="inlineStr">
        <is>
          <t>2026-04-01</t>
        </is>
      </c>
      <c r="G11" s="5" t="inlineStr">
        <is>
          <t>https://docs.google.com/document/d/dummy_T-대구-03-01</t>
        </is>
      </c>
      <c r="H11" s="5" t="n">
        <v>99</v>
      </c>
      <c r="I11" s="5" t="n">
        <v>96</v>
      </c>
      <c r="J11" s="5" t="n">
        <v>69</v>
      </c>
      <c r="K11" s="5" t="n">
        <v>77</v>
      </c>
      <c r="L11" s="5" t="n">
        <v>92</v>
      </c>
      <c r="M11" s="5">
        <f>ROUND(AVERAGE(H11:L11),1)</f>
        <v/>
      </c>
      <c r="N11" s="6" t="inlineStr">
        <is>
          <t>위험</t>
        </is>
      </c>
      <c r="O11" s="7" t="inlineStr">
        <is>
          <t>M2 기능 우선순위표 미완성, 보완 지도 요청</t>
        </is>
      </c>
    </row>
    <row r="12" ht="22" customHeight="1">
      <c r="A12" s="8" t="inlineStr">
        <is>
          <t>T-대구-03-02</t>
        </is>
      </c>
      <c r="B12" s="8" t="inlineStr">
        <is>
          <t>대구</t>
        </is>
      </c>
      <c r="C12" s="8" t="inlineStr">
        <is>
          <t>대구 미래중학교</t>
        </is>
      </c>
      <c r="D12" s="8" t="inlineStr">
        <is>
          <t>해치 2팀</t>
        </is>
      </c>
      <c r="E12" s="8" t="inlineStr">
        <is>
          <t>시각장애인 안내 AI 반려견</t>
        </is>
      </c>
      <c r="F12" s="8" t="inlineStr">
        <is>
          <t>2026-04-11</t>
        </is>
      </c>
      <c r="G12" s="8" t="inlineStr">
        <is>
          <t>https://docs.google.com/document/d/dummy_T-대구-03-02</t>
        </is>
      </c>
      <c r="H12" s="8" t="n">
        <v>85</v>
      </c>
      <c r="I12" s="8" t="n">
        <v>74</v>
      </c>
      <c r="J12" s="8" t="n">
        <v>83</v>
      </c>
      <c r="K12" s="8" t="n">
        <v>82</v>
      </c>
      <c r="L12" s="8" t="n">
        <v>37</v>
      </c>
      <c r="M12" s="8">
        <f>ROUND(AVERAGE(H12:L12),1)</f>
        <v/>
      </c>
      <c r="N12" s="11" t="inlineStr">
        <is>
          <t>정상</t>
        </is>
      </c>
      <c r="O12" s="10" t="inlineStr"/>
    </row>
    <row r="13" ht="26" customHeight="1">
      <c r="A13" s="5" t="inlineStr">
        <is>
          <t>T-대구-03-03</t>
        </is>
      </c>
      <c r="B13" s="5" t="inlineStr">
        <is>
          <t>대구</t>
        </is>
      </c>
      <c r="C13" s="5" t="inlineStr">
        <is>
          <t>대구 미래중학교</t>
        </is>
      </c>
      <c r="D13" s="5" t="inlineStr">
        <is>
          <t>에코봇 3팀</t>
        </is>
      </c>
      <c r="E13" s="5" t="inlineStr">
        <is>
          <t>학교 쓰레기 분류 자동화 로봇</t>
        </is>
      </c>
      <c r="F13" s="5" t="inlineStr">
        <is>
          <t>2026-04-06</t>
        </is>
      </c>
      <c r="G13" s="5" t="inlineStr">
        <is>
          <t>https://docs.google.com/document/d/dummy_T-대구-03-03</t>
        </is>
      </c>
      <c r="H13" s="5" t="n">
        <v>57</v>
      </c>
      <c r="I13" s="5" t="n">
        <v>51</v>
      </c>
      <c r="J13" s="5" t="n">
        <v>49</v>
      </c>
      <c r="K13" s="5" t="n">
        <v>54</v>
      </c>
      <c r="L13" s="5" t="n">
        <v>27</v>
      </c>
      <c r="M13" s="5">
        <f>ROUND(AVERAGE(H13:L13),1)</f>
        <v/>
      </c>
      <c r="N13" s="6" t="inlineStr">
        <is>
          <t>위험</t>
        </is>
      </c>
      <c r="O13" s="7" t="inlineStr">
        <is>
          <t>M3 디버그 로그 미작성 — 개별 면담 필요</t>
        </is>
      </c>
    </row>
    <row r="14" ht="26" customHeight="1">
      <c r="A14" s="8" t="inlineStr">
        <is>
          <t>T-대구-03-04</t>
        </is>
      </c>
      <c r="B14" s="8" t="inlineStr">
        <is>
          <t>대구</t>
        </is>
      </c>
      <c r="C14" s="8" t="inlineStr">
        <is>
          <t>대구 미래중학교</t>
        </is>
      </c>
      <c r="D14" s="8" t="inlineStr">
        <is>
          <t>세이프티 4팀</t>
        </is>
      </c>
      <c r="E14" s="8" t="inlineStr">
        <is>
          <t>교내 낙상 감지 알림 시스템</t>
        </is>
      </c>
      <c r="F14" s="8" t="inlineStr">
        <is>
          <t>2026-04-02</t>
        </is>
      </c>
      <c r="G14" s="8" t="inlineStr">
        <is>
          <t>https://docs.google.com/document/d/dummy_T-대구-03-04</t>
        </is>
      </c>
      <c r="H14" s="8" t="n">
        <v>51</v>
      </c>
      <c r="I14" s="8" t="n">
        <v>41</v>
      </c>
      <c r="J14" s="8" t="n">
        <v>18</v>
      </c>
      <c r="K14" s="8" t="n">
        <v>25</v>
      </c>
      <c r="L14" s="8" t="n">
        <v>43</v>
      </c>
      <c r="M14" s="8">
        <f>ROUND(AVERAGE(H14:L14),1)</f>
        <v/>
      </c>
      <c r="N14" s="6" t="inlineStr">
        <is>
          <t>위험</t>
        </is>
      </c>
      <c r="O14" s="10" t="inlineStr">
        <is>
          <t>팀 내 역할 분담 미정, 조율 지원 필요</t>
        </is>
      </c>
    </row>
    <row r="15" ht="26" customHeight="1">
      <c r="A15" s="5" t="inlineStr">
        <is>
          <t>T-인천-04-01</t>
        </is>
      </c>
      <c r="B15" s="5" t="inlineStr">
        <is>
          <t>인천</t>
        </is>
      </c>
      <c r="C15" s="5" t="inlineStr">
        <is>
          <t>인천 스마트중학교</t>
        </is>
      </c>
      <c r="D15" s="5" t="inlineStr">
        <is>
          <t>AI 패트롤 1팀</t>
        </is>
      </c>
      <c r="E15" s="5" t="inlineStr">
        <is>
          <t>가스 감지 AI 순찰 로봇</t>
        </is>
      </c>
      <c r="F15" s="5" t="inlineStr">
        <is>
          <t>2026-04-05</t>
        </is>
      </c>
      <c r="G15" s="5" t="inlineStr">
        <is>
          <t>https://docs.google.com/document/d/dummy_T-인천-04-01</t>
        </is>
      </c>
      <c r="H15" s="5" t="n">
        <v>75</v>
      </c>
      <c r="I15" s="5" t="n">
        <v>71</v>
      </c>
      <c r="J15" s="5" t="n">
        <v>57</v>
      </c>
      <c r="K15" s="5" t="n">
        <v>40</v>
      </c>
      <c r="L15" s="5" t="n">
        <v>27</v>
      </c>
      <c r="M15" s="5">
        <f>ROUND(AVERAGE(H15:L15),1)</f>
        <v/>
      </c>
      <c r="N15" s="6" t="inlineStr">
        <is>
          <t>위험</t>
        </is>
      </c>
      <c r="O15" s="7" t="inlineStr">
        <is>
          <t>M2 기능 우선순위표 미완성, 보완 지도 요청</t>
        </is>
      </c>
    </row>
    <row r="16" ht="26" customHeight="1">
      <c r="A16" s="8" t="inlineStr">
        <is>
          <t>T-인천-04-02</t>
        </is>
      </c>
      <c r="B16" s="8" t="inlineStr">
        <is>
          <t>인천</t>
        </is>
      </c>
      <c r="C16" s="8" t="inlineStr">
        <is>
          <t>인천 스마트중학교</t>
        </is>
      </c>
      <c r="D16" s="8" t="inlineStr">
        <is>
          <t>해치 2팀</t>
        </is>
      </c>
      <c r="E16" s="8" t="inlineStr">
        <is>
          <t>시각장애인 안내 AI 반려견</t>
        </is>
      </c>
      <c r="F16" s="8" t="inlineStr">
        <is>
          <t>2026-04-13</t>
        </is>
      </c>
      <c r="G16" s="8" t="inlineStr">
        <is>
          <t>https://docs.google.com/document/d/dummy_T-인천-04-02</t>
        </is>
      </c>
      <c r="H16" s="8" t="n">
        <v>66</v>
      </c>
      <c r="I16" s="8" t="n">
        <v>61</v>
      </c>
      <c r="J16" s="8" t="n">
        <v>41</v>
      </c>
      <c r="K16" s="8" t="n">
        <v>42</v>
      </c>
      <c r="L16" s="8" t="n">
        <v>35</v>
      </c>
      <c r="M16" s="8">
        <f>ROUND(AVERAGE(H16:L16),1)</f>
        <v/>
      </c>
      <c r="N16" s="9" t="inlineStr">
        <is>
          <t>주의</t>
        </is>
      </c>
      <c r="O16" s="10" t="inlineStr">
        <is>
          <t>진도 다소 지연, 이번 주 체크인 예정</t>
        </is>
      </c>
    </row>
    <row r="17" ht="26" customHeight="1">
      <c r="A17" s="5" t="inlineStr">
        <is>
          <t>T-인천-04-03</t>
        </is>
      </c>
      <c r="B17" s="5" t="inlineStr">
        <is>
          <t>인천</t>
        </is>
      </c>
      <c r="C17" s="5" t="inlineStr">
        <is>
          <t>인천 스마트중학교</t>
        </is>
      </c>
      <c r="D17" s="5" t="inlineStr">
        <is>
          <t>에코봇 3팀</t>
        </is>
      </c>
      <c r="E17" s="5" t="inlineStr">
        <is>
          <t>학교 쓰레기 분류 자동화 로봇</t>
        </is>
      </c>
      <c r="F17" s="5" t="inlineStr">
        <is>
          <t>2026-04-10</t>
        </is>
      </c>
      <c r="G17" s="5" t="inlineStr">
        <is>
          <t>https://docs.google.com/document/d/dummy_T-인천-04-03</t>
        </is>
      </c>
      <c r="H17" s="5" t="n">
        <v>81</v>
      </c>
      <c r="I17" s="5" t="n">
        <v>85</v>
      </c>
      <c r="J17" s="5" t="n">
        <v>77</v>
      </c>
      <c r="K17" s="5" t="n">
        <v>57</v>
      </c>
      <c r="L17" s="5" t="n">
        <v>81</v>
      </c>
      <c r="M17" s="5">
        <f>ROUND(AVERAGE(H17:L17),1)</f>
        <v/>
      </c>
      <c r="N17" s="9" t="inlineStr">
        <is>
          <t>주의</t>
        </is>
      </c>
      <c r="O17" s="7" t="inlineStr">
        <is>
          <t>센서 선정 단계에서 질문 많음, 추가 안내 예정</t>
        </is>
      </c>
    </row>
    <row r="18" ht="26" customHeight="1">
      <c r="A18" s="8" t="inlineStr">
        <is>
          <t>T-인천-04-04</t>
        </is>
      </c>
      <c r="B18" s="8" t="inlineStr">
        <is>
          <t>인천</t>
        </is>
      </c>
      <c r="C18" s="8" t="inlineStr">
        <is>
          <t>인천 스마트중학교</t>
        </is>
      </c>
      <c r="D18" s="8" t="inlineStr">
        <is>
          <t>세이프티 4팀</t>
        </is>
      </c>
      <c r="E18" s="8" t="inlineStr">
        <is>
          <t>교내 낙상 감지 알림 시스템</t>
        </is>
      </c>
      <c r="F18" s="8" t="inlineStr">
        <is>
          <t>2026-04-07</t>
        </is>
      </c>
      <c r="G18" s="8" t="inlineStr">
        <is>
          <t>https://docs.google.com/document/d/dummy_T-인천-04-04</t>
        </is>
      </c>
      <c r="H18" s="8" t="n">
        <v>46</v>
      </c>
      <c r="I18" s="8" t="n">
        <v>35</v>
      </c>
      <c r="J18" s="8" t="n">
        <v>44</v>
      </c>
      <c r="K18" s="8" t="n">
        <v>32</v>
      </c>
      <c r="L18" s="8" t="n">
        <v>46</v>
      </c>
      <c r="M18" s="8">
        <f>ROUND(AVERAGE(H18:L18),1)</f>
        <v/>
      </c>
      <c r="N18" s="6" t="inlineStr">
        <is>
          <t>위험</t>
        </is>
      </c>
      <c r="O18" s="10" t="inlineStr">
        <is>
          <t>팀 내 역할 분담 미정, 조율 지원 필요</t>
        </is>
      </c>
    </row>
    <row r="19" ht="26" customHeight="1">
      <c r="A19" s="5" t="inlineStr">
        <is>
          <t>T-광주-05-01</t>
        </is>
      </c>
      <c r="B19" s="5" t="inlineStr">
        <is>
          <t>광주</t>
        </is>
      </c>
      <c r="C19" s="5" t="inlineStr">
        <is>
          <t>광주 소프트중학교</t>
        </is>
      </c>
      <c r="D19" s="5" t="inlineStr">
        <is>
          <t>AI 패트롤 1팀</t>
        </is>
      </c>
      <c r="E19" s="5" t="inlineStr">
        <is>
          <t>가스 감지 AI 순찰 로봇</t>
        </is>
      </c>
      <c r="F19" s="5" t="inlineStr">
        <is>
          <t>2026-04-01</t>
        </is>
      </c>
      <c r="G19" s="5" t="inlineStr">
        <is>
          <t>https://docs.google.com/document/d/dummy_T-광주-05-01</t>
        </is>
      </c>
      <c r="H19" s="5" t="n">
        <v>46</v>
      </c>
      <c r="I19" s="5" t="n">
        <v>40</v>
      </c>
      <c r="J19" s="5" t="n">
        <v>40</v>
      </c>
      <c r="K19" s="5" t="n">
        <v>24</v>
      </c>
      <c r="L19" s="5" t="n">
        <v>40</v>
      </c>
      <c r="M19" s="5">
        <f>ROUND(AVERAGE(H19:L19),1)</f>
        <v/>
      </c>
      <c r="N19" s="6" t="inlineStr">
        <is>
          <t>위험</t>
        </is>
      </c>
      <c r="O19" s="7" t="inlineStr">
        <is>
          <t>팀 내 역할 분담 미정, 조율 지원 필요</t>
        </is>
      </c>
    </row>
    <row r="20" ht="22" customHeight="1">
      <c r="A20" s="8" t="inlineStr">
        <is>
          <t>T-광주-05-02</t>
        </is>
      </c>
      <c r="B20" s="8" t="inlineStr">
        <is>
          <t>광주</t>
        </is>
      </c>
      <c r="C20" s="8" t="inlineStr">
        <is>
          <t>광주 소프트중학교</t>
        </is>
      </c>
      <c r="D20" s="8" t="inlineStr">
        <is>
          <t>해치 2팀</t>
        </is>
      </c>
      <c r="E20" s="8" t="inlineStr">
        <is>
          <t>시각장애인 안내 AI 반려견</t>
        </is>
      </c>
      <c r="F20" s="8" t="inlineStr">
        <is>
          <t>2026-04-11</t>
        </is>
      </c>
      <c r="G20" s="8" t="inlineStr">
        <is>
          <t>https://docs.google.com/document/d/dummy_T-광주-05-02</t>
        </is>
      </c>
      <c r="H20" s="8" t="n">
        <v>81</v>
      </c>
      <c r="I20" s="8" t="n">
        <v>69</v>
      </c>
      <c r="J20" s="8" t="n">
        <v>62</v>
      </c>
      <c r="K20" s="8" t="n">
        <v>49</v>
      </c>
      <c r="L20" s="8" t="n">
        <v>48</v>
      </c>
      <c r="M20" s="8">
        <f>ROUND(AVERAGE(H20:L20),1)</f>
        <v/>
      </c>
      <c r="N20" s="11" t="inlineStr">
        <is>
          <t>정상</t>
        </is>
      </c>
      <c r="O20" s="10" t="inlineStr"/>
    </row>
    <row r="21" ht="26" customHeight="1">
      <c r="A21" s="5" t="inlineStr">
        <is>
          <t>T-광주-05-03</t>
        </is>
      </c>
      <c r="B21" s="5" t="inlineStr">
        <is>
          <t>광주</t>
        </is>
      </c>
      <c r="C21" s="5" t="inlineStr">
        <is>
          <t>광주 소프트중학교</t>
        </is>
      </c>
      <c r="D21" s="5" t="inlineStr">
        <is>
          <t>에코봇 3팀</t>
        </is>
      </c>
      <c r="E21" s="5" t="inlineStr">
        <is>
          <t>학교 쓰레기 분류 자동화 로봇</t>
        </is>
      </c>
      <c r="F21" s="5" t="inlineStr">
        <is>
          <t>2026-04-07</t>
        </is>
      </c>
      <c r="G21" s="5" t="inlineStr">
        <is>
          <t>https://docs.google.com/document/d/dummy_T-광주-05-03</t>
        </is>
      </c>
      <c r="H21" s="5" t="n">
        <v>54</v>
      </c>
      <c r="I21" s="5" t="n">
        <v>51</v>
      </c>
      <c r="J21" s="5" t="n">
        <v>48</v>
      </c>
      <c r="K21" s="5" t="n">
        <v>29</v>
      </c>
      <c r="L21" s="5" t="n">
        <v>18</v>
      </c>
      <c r="M21" s="5">
        <f>ROUND(AVERAGE(H21:L21),1)</f>
        <v/>
      </c>
      <c r="N21" s="6" t="inlineStr">
        <is>
          <t>위험</t>
        </is>
      </c>
      <c r="O21" s="7" t="inlineStr">
        <is>
          <t>M3 디버그 로그 미작성 — 개별 면담 필요</t>
        </is>
      </c>
    </row>
    <row r="22" ht="22" customHeight="1">
      <c r="A22" s="8" t="inlineStr">
        <is>
          <t>T-광주-05-04</t>
        </is>
      </c>
      <c r="B22" s="8" t="inlineStr">
        <is>
          <t>광주</t>
        </is>
      </c>
      <c r="C22" s="8" t="inlineStr">
        <is>
          <t>광주 소프트중학교</t>
        </is>
      </c>
      <c r="D22" s="8" t="inlineStr">
        <is>
          <t>세이프티 4팀</t>
        </is>
      </c>
      <c r="E22" s="8" t="inlineStr">
        <is>
          <t>교내 낙상 감지 알림 시스템</t>
        </is>
      </c>
      <c r="F22" s="8" t="inlineStr">
        <is>
          <t>2026-04-13</t>
        </is>
      </c>
      <c r="G22" s="8" t="inlineStr">
        <is>
          <t>https://docs.google.com/document/d/dummy_T-광주-05-04</t>
        </is>
      </c>
      <c r="H22" s="8" t="n">
        <v>95</v>
      </c>
      <c r="I22" s="8" t="n">
        <v>91</v>
      </c>
      <c r="J22" s="8" t="n">
        <v>89</v>
      </c>
      <c r="K22" s="8" t="n">
        <v>84</v>
      </c>
      <c r="L22" s="8" t="n">
        <v>77</v>
      </c>
      <c r="M22" s="8">
        <f>ROUND(AVERAGE(H22:L22),1)</f>
        <v/>
      </c>
      <c r="N22" s="11" t="inlineStr">
        <is>
          <t>정상</t>
        </is>
      </c>
      <c r="O22" s="10" t="inlineStr"/>
    </row>
    <row r="23" ht="26" customHeight="1">
      <c r="A23" s="5" t="inlineStr">
        <is>
          <t>T-대전-06-01</t>
        </is>
      </c>
      <c r="B23" s="5" t="inlineStr">
        <is>
          <t>대전</t>
        </is>
      </c>
      <c r="C23" s="5" t="inlineStr">
        <is>
          <t>대전 테크중학교</t>
        </is>
      </c>
      <c r="D23" s="5" t="inlineStr">
        <is>
          <t>AI 패트롤 1팀</t>
        </is>
      </c>
      <c r="E23" s="5" t="inlineStr">
        <is>
          <t>가스 감지 AI 순찰 로봇</t>
        </is>
      </c>
      <c r="F23" s="5" t="inlineStr">
        <is>
          <t>2026-04-04</t>
        </is>
      </c>
      <c r="G23" s="5" t="inlineStr">
        <is>
          <t>https://docs.google.com/document/d/dummy_T-대전-06-01</t>
        </is>
      </c>
      <c r="H23" s="5" t="n">
        <v>73</v>
      </c>
      <c r="I23" s="5" t="n">
        <v>70</v>
      </c>
      <c r="J23" s="5" t="n">
        <v>56</v>
      </c>
      <c r="K23" s="5" t="n">
        <v>64</v>
      </c>
      <c r="L23" s="5" t="n">
        <v>25</v>
      </c>
      <c r="M23" s="5">
        <f>ROUND(AVERAGE(H23:L23),1)</f>
        <v/>
      </c>
      <c r="N23" s="6" t="inlineStr">
        <is>
          <t>위험</t>
        </is>
      </c>
      <c r="O23" s="7" t="inlineStr">
        <is>
          <t>7일 이상 미업데이트, 팀 연락 요망</t>
        </is>
      </c>
    </row>
    <row r="24" ht="26" customHeight="1">
      <c r="A24" s="8" t="inlineStr">
        <is>
          <t>T-대전-06-02</t>
        </is>
      </c>
      <c r="B24" s="8" t="inlineStr">
        <is>
          <t>대전</t>
        </is>
      </c>
      <c r="C24" s="8" t="inlineStr">
        <is>
          <t>대전 테크중학교</t>
        </is>
      </c>
      <c r="D24" s="8" t="inlineStr">
        <is>
          <t>해치 2팀</t>
        </is>
      </c>
      <c r="E24" s="8" t="inlineStr">
        <is>
          <t>시각장애인 안내 AI 반려견</t>
        </is>
      </c>
      <c r="F24" s="8" t="inlineStr">
        <is>
          <t>2026-04-13</t>
        </is>
      </c>
      <c r="G24" s="8" t="inlineStr">
        <is>
          <t>https://docs.google.com/document/d/dummy_T-대전-06-02</t>
        </is>
      </c>
      <c r="H24" s="8" t="n">
        <v>50</v>
      </c>
      <c r="I24" s="8" t="n">
        <v>45</v>
      </c>
      <c r="J24" s="8" t="n">
        <v>36</v>
      </c>
      <c r="K24" s="8" t="n">
        <v>22</v>
      </c>
      <c r="L24" s="8" t="n">
        <v>4</v>
      </c>
      <c r="M24" s="8">
        <f>ROUND(AVERAGE(H24:L24),1)</f>
        <v/>
      </c>
      <c r="N24" s="9" t="inlineStr">
        <is>
          <t>주의</t>
        </is>
      </c>
      <c r="O24" s="10" t="inlineStr">
        <is>
          <t>진도 다소 지연, 이번 주 체크인 예정</t>
        </is>
      </c>
    </row>
    <row r="25" ht="26" customHeight="1">
      <c r="A25" s="5" t="inlineStr">
        <is>
          <t>T-대전-06-03</t>
        </is>
      </c>
      <c r="B25" s="5" t="inlineStr">
        <is>
          <t>대전</t>
        </is>
      </c>
      <c r="C25" s="5" t="inlineStr">
        <is>
          <t>대전 테크중학교</t>
        </is>
      </c>
      <c r="D25" s="5" t="inlineStr">
        <is>
          <t>에코봇 3팀</t>
        </is>
      </c>
      <c r="E25" s="5" t="inlineStr">
        <is>
          <t>학교 쓰레기 분류 자동화 로봇</t>
        </is>
      </c>
      <c r="F25" s="5" t="inlineStr">
        <is>
          <t>2026-04-13</t>
        </is>
      </c>
      <c r="G25" s="5" t="inlineStr">
        <is>
          <t>https://docs.google.com/document/d/dummy_T-대전-06-03</t>
        </is>
      </c>
      <c r="H25" s="5" t="n">
        <v>48</v>
      </c>
      <c r="I25" s="5" t="n">
        <v>40</v>
      </c>
      <c r="J25" s="5" t="n">
        <v>43</v>
      </c>
      <c r="K25" s="5" t="n">
        <v>36</v>
      </c>
      <c r="L25" s="5" t="n">
        <v>23</v>
      </c>
      <c r="M25" s="5">
        <f>ROUND(AVERAGE(H25:L25),1)</f>
        <v/>
      </c>
      <c r="N25" s="9" t="inlineStr">
        <is>
          <t>주의</t>
        </is>
      </c>
      <c r="O25" s="7" t="inlineStr">
        <is>
          <t>센서 선정 단계에서 질문 많음, 추가 안내 예정</t>
        </is>
      </c>
    </row>
    <row r="26" ht="26" customHeight="1">
      <c r="A26" s="8" t="inlineStr">
        <is>
          <t>T-대전-06-04</t>
        </is>
      </c>
      <c r="B26" s="8" t="inlineStr">
        <is>
          <t>대전</t>
        </is>
      </c>
      <c r="C26" s="8" t="inlineStr">
        <is>
          <t>대전 테크중학교</t>
        </is>
      </c>
      <c r="D26" s="8" t="inlineStr">
        <is>
          <t>세이프티 4팀</t>
        </is>
      </c>
      <c r="E26" s="8" t="inlineStr">
        <is>
          <t>교내 낙상 감지 알림 시스템</t>
        </is>
      </c>
      <c r="F26" s="8" t="inlineStr">
        <is>
          <t>2026-04-12</t>
        </is>
      </c>
      <c r="G26" s="8" t="inlineStr">
        <is>
          <t>https://docs.google.com/document/d/dummy_T-대전-06-04</t>
        </is>
      </c>
      <c r="H26" s="8" t="n">
        <v>64</v>
      </c>
      <c r="I26" s="8" t="n">
        <v>59</v>
      </c>
      <c r="J26" s="8" t="n">
        <v>34</v>
      </c>
      <c r="K26" s="8" t="n">
        <v>63</v>
      </c>
      <c r="L26" s="8" t="n">
        <v>19</v>
      </c>
      <c r="M26" s="8">
        <f>ROUND(AVERAGE(H26:L26),1)</f>
        <v/>
      </c>
      <c r="N26" s="9" t="inlineStr">
        <is>
          <t>주의</t>
        </is>
      </c>
      <c r="O26" s="10" t="inlineStr">
        <is>
          <t>M3 진입 예정, 방향성 재확인 권장</t>
        </is>
      </c>
    </row>
    <row r="27" ht="22" customHeight="1">
      <c r="A27" s="5" t="inlineStr">
        <is>
          <t>T-울산-07-01</t>
        </is>
      </c>
      <c r="B27" s="5" t="inlineStr">
        <is>
          <t>울산</t>
        </is>
      </c>
      <c r="C27" s="5" t="inlineStr">
        <is>
          <t>울산 코딩중학교</t>
        </is>
      </c>
      <c r="D27" s="5" t="inlineStr">
        <is>
          <t>AI 패트롤 1팀</t>
        </is>
      </c>
      <c r="E27" s="5" t="inlineStr">
        <is>
          <t>가스 감지 AI 순찰 로봇</t>
        </is>
      </c>
      <c r="F27" s="5" t="inlineStr">
        <is>
          <t>2026-04-13</t>
        </is>
      </c>
      <c r="G27" s="5" t="inlineStr">
        <is>
          <t>https://docs.google.com/document/d/dummy_T-울산-07-01</t>
        </is>
      </c>
      <c r="H27" s="5" t="n">
        <v>96</v>
      </c>
      <c r="I27" s="5" t="n">
        <v>85</v>
      </c>
      <c r="J27" s="5" t="n">
        <v>80</v>
      </c>
      <c r="K27" s="5" t="n">
        <v>80</v>
      </c>
      <c r="L27" s="5" t="n">
        <v>82</v>
      </c>
      <c r="M27" s="5">
        <f>ROUND(AVERAGE(H27:L27),1)</f>
        <v/>
      </c>
      <c r="N27" s="11" t="inlineStr">
        <is>
          <t>정상</t>
        </is>
      </c>
      <c r="O27" s="7" t="inlineStr"/>
    </row>
    <row r="28" ht="26" customHeight="1">
      <c r="A28" s="8" t="inlineStr">
        <is>
          <t>T-울산-07-02</t>
        </is>
      </c>
      <c r="B28" s="8" t="inlineStr">
        <is>
          <t>울산</t>
        </is>
      </c>
      <c r="C28" s="8" t="inlineStr">
        <is>
          <t>울산 코딩중학교</t>
        </is>
      </c>
      <c r="D28" s="8" t="inlineStr">
        <is>
          <t>해치 2팀</t>
        </is>
      </c>
      <c r="E28" s="8" t="inlineStr">
        <is>
          <t>시각장애인 안내 AI 반려견</t>
        </is>
      </c>
      <c r="F28" s="8" t="inlineStr">
        <is>
          <t>2026-04-14</t>
        </is>
      </c>
      <c r="G28" s="8" t="inlineStr">
        <is>
          <t>https://docs.google.com/document/d/dummy_T-울산-07-02</t>
        </is>
      </c>
      <c r="H28" s="8" t="n">
        <v>67</v>
      </c>
      <c r="I28" s="8" t="n">
        <v>64</v>
      </c>
      <c r="J28" s="8" t="n">
        <v>44</v>
      </c>
      <c r="K28" s="8" t="n">
        <v>36</v>
      </c>
      <c r="L28" s="8" t="n">
        <v>63</v>
      </c>
      <c r="M28" s="8">
        <f>ROUND(AVERAGE(H28:L28),1)</f>
        <v/>
      </c>
      <c r="N28" s="9" t="inlineStr">
        <is>
          <t>주의</t>
        </is>
      </c>
      <c r="O28" s="10" t="inlineStr">
        <is>
          <t>센서 선정 단계에서 질문 많음, 추가 안내 예정</t>
        </is>
      </c>
    </row>
    <row r="29" ht="22" customHeight="1">
      <c r="A29" s="5" t="inlineStr">
        <is>
          <t>T-울산-07-03</t>
        </is>
      </c>
      <c r="B29" s="5" t="inlineStr">
        <is>
          <t>울산</t>
        </is>
      </c>
      <c r="C29" s="5" t="inlineStr">
        <is>
          <t>울산 코딩중학교</t>
        </is>
      </c>
      <c r="D29" s="5" t="inlineStr">
        <is>
          <t>에코봇 3팀</t>
        </is>
      </c>
      <c r="E29" s="5" t="inlineStr">
        <is>
          <t>학교 쓰레기 분류 자동화 로봇</t>
        </is>
      </c>
      <c r="F29" s="5" t="inlineStr">
        <is>
          <t>2026-04-11</t>
        </is>
      </c>
      <c r="G29" s="5" t="inlineStr">
        <is>
          <t>https://docs.google.com/document/d/dummy_T-울산-07-03</t>
        </is>
      </c>
      <c r="H29" s="5" t="n">
        <v>45</v>
      </c>
      <c r="I29" s="5" t="n">
        <v>48</v>
      </c>
      <c r="J29" s="5" t="n">
        <v>52</v>
      </c>
      <c r="K29" s="5" t="n">
        <v>19</v>
      </c>
      <c r="L29" s="5" t="n">
        <v>13</v>
      </c>
      <c r="M29" s="5">
        <f>ROUND(AVERAGE(H29:L29),1)</f>
        <v/>
      </c>
      <c r="N29" s="11" t="inlineStr">
        <is>
          <t>정상</t>
        </is>
      </c>
      <c r="O29" s="7" t="inlineStr"/>
    </row>
    <row r="30" ht="26" customHeight="1">
      <c r="A30" s="8" t="inlineStr">
        <is>
          <t>T-울산-07-04</t>
        </is>
      </c>
      <c r="B30" s="8" t="inlineStr">
        <is>
          <t>울산</t>
        </is>
      </c>
      <c r="C30" s="8" t="inlineStr">
        <is>
          <t>울산 코딩중학교</t>
        </is>
      </c>
      <c r="D30" s="8" t="inlineStr">
        <is>
          <t>세이프티 4팀</t>
        </is>
      </c>
      <c r="E30" s="8" t="inlineStr">
        <is>
          <t>교내 낙상 감지 알림 시스템</t>
        </is>
      </c>
      <c r="F30" s="8" t="inlineStr">
        <is>
          <t>2026-04-12</t>
        </is>
      </c>
      <c r="G30" s="8" t="inlineStr">
        <is>
          <t>https://docs.google.com/document/d/dummy_T-울산-07-04</t>
        </is>
      </c>
      <c r="H30" s="8" t="n">
        <v>52</v>
      </c>
      <c r="I30" s="8" t="n">
        <v>50</v>
      </c>
      <c r="J30" s="8" t="n">
        <v>33</v>
      </c>
      <c r="K30" s="8" t="n">
        <v>19</v>
      </c>
      <c r="L30" s="8" t="n">
        <v>28</v>
      </c>
      <c r="M30" s="8">
        <f>ROUND(AVERAGE(H30:L30),1)</f>
        <v/>
      </c>
      <c r="N30" s="9" t="inlineStr">
        <is>
          <t>주의</t>
        </is>
      </c>
      <c r="O30" s="10" t="inlineStr">
        <is>
          <t>진도 다소 지연, 이번 주 체크인 예정</t>
        </is>
      </c>
    </row>
    <row r="31" ht="22" customHeight="1">
      <c r="A31" s="5" t="inlineStr">
        <is>
          <t>T-수원-08-01</t>
        </is>
      </c>
      <c r="B31" s="5" t="inlineStr">
        <is>
          <t>수원</t>
        </is>
      </c>
      <c r="C31" s="5" t="inlineStr">
        <is>
          <t>수원 데이터중학교</t>
        </is>
      </c>
      <c r="D31" s="5" t="inlineStr">
        <is>
          <t>AI 패트롤 1팀</t>
        </is>
      </c>
      <c r="E31" s="5" t="inlineStr">
        <is>
          <t>가스 감지 AI 순찰 로봇</t>
        </is>
      </c>
      <c r="F31" s="5" t="inlineStr">
        <is>
          <t>2026-04-11</t>
        </is>
      </c>
      <c r="G31" s="5" t="inlineStr">
        <is>
          <t>https://docs.google.com/document/d/dummy_T-수원-08-01</t>
        </is>
      </c>
      <c r="H31" s="5" t="n">
        <v>87</v>
      </c>
      <c r="I31" s="5" t="n">
        <v>77</v>
      </c>
      <c r="J31" s="5" t="n">
        <v>64</v>
      </c>
      <c r="K31" s="5" t="n">
        <v>51</v>
      </c>
      <c r="L31" s="5" t="n">
        <v>50</v>
      </c>
      <c r="M31" s="5">
        <f>ROUND(AVERAGE(H31:L31),1)</f>
        <v/>
      </c>
      <c r="N31" s="11" t="inlineStr">
        <is>
          <t>정상</t>
        </is>
      </c>
      <c r="O31" s="7" t="inlineStr"/>
    </row>
    <row r="32" ht="26" customHeight="1">
      <c r="A32" s="8" t="inlineStr">
        <is>
          <t>T-수원-08-02</t>
        </is>
      </c>
      <c r="B32" s="8" t="inlineStr">
        <is>
          <t>수원</t>
        </is>
      </c>
      <c r="C32" s="8" t="inlineStr">
        <is>
          <t>수원 데이터중학교</t>
        </is>
      </c>
      <c r="D32" s="8" t="inlineStr">
        <is>
          <t>해치 2팀</t>
        </is>
      </c>
      <c r="E32" s="8" t="inlineStr">
        <is>
          <t>시각장애인 안내 AI 반려견</t>
        </is>
      </c>
      <c r="F32" s="8" t="inlineStr">
        <is>
          <t>2026-03-31</t>
        </is>
      </c>
      <c r="G32" s="8" t="inlineStr">
        <is>
          <t>https://docs.google.com/document/d/dummy_T-수원-08-02</t>
        </is>
      </c>
      <c r="H32" s="8" t="n">
        <v>56</v>
      </c>
      <c r="I32" s="8" t="n">
        <v>50</v>
      </c>
      <c r="J32" s="8" t="n">
        <v>55</v>
      </c>
      <c r="K32" s="8" t="n">
        <v>46</v>
      </c>
      <c r="L32" s="8" t="n">
        <v>14</v>
      </c>
      <c r="M32" s="8">
        <f>ROUND(AVERAGE(H32:L32),1)</f>
        <v/>
      </c>
      <c r="N32" s="6" t="inlineStr">
        <is>
          <t>위험</t>
        </is>
      </c>
      <c r="O32" s="10" t="inlineStr">
        <is>
          <t>M2 기능 우선순위표 미완성, 보완 지도 요청</t>
        </is>
      </c>
    </row>
    <row r="33" ht="26" customHeight="1">
      <c r="A33" s="5" t="inlineStr">
        <is>
          <t>T-수원-08-03</t>
        </is>
      </c>
      <c r="B33" s="5" t="inlineStr">
        <is>
          <t>수원</t>
        </is>
      </c>
      <c r="C33" s="5" t="inlineStr">
        <is>
          <t>수원 데이터중학교</t>
        </is>
      </c>
      <c r="D33" s="5" t="inlineStr">
        <is>
          <t>에코봇 3팀</t>
        </is>
      </c>
      <c r="E33" s="5" t="inlineStr">
        <is>
          <t>학교 쓰레기 분류 자동화 로봇</t>
        </is>
      </c>
      <c r="F33" s="5" t="inlineStr">
        <is>
          <t>2026-04-07</t>
        </is>
      </c>
      <c r="G33" s="5" t="inlineStr">
        <is>
          <t>https://docs.google.com/document/d/dummy_T-수원-08-03</t>
        </is>
      </c>
      <c r="H33" s="5" t="n">
        <v>69</v>
      </c>
      <c r="I33" s="5" t="n">
        <v>63</v>
      </c>
      <c r="J33" s="5" t="n">
        <v>42</v>
      </c>
      <c r="K33" s="5" t="n">
        <v>65</v>
      </c>
      <c r="L33" s="5" t="n">
        <v>33</v>
      </c>
      <c r="M33" s="5">
        <f>ROUND(AVERAGE(H33:L33),1)</f>
        <v/>
      </c>
      <c r="N33" s="6" t="inlineStr">
        <is>
          <t>위험</t>
        </is>
      </c>
      <c r="O33" s="7" t="inlineStr">
        <is>
          <t>M2 기능 우선순위표 미완성, 보완 지도 요청</t>
        </is>
      </c>
    </row>
    <row r="34" ht="22" customHeight="1">
      <c r="A34" s="8" t="inlineStr">
        <is>
          <t>T-수원-08-04</t>
        </is>
      </c>
      <c r="B34" s="8" t="inlineStr">
        <is>
          <t>수원</t>
        </is>
      </c>
      <c r="C34" s="8" t="inlineStr">
        <is>
          <t>수원 데이터중학교</t>
        </is>
      </c>
      <c r="D34" s="8" t="inlineStr">
        <is>
          <t>세이프티 4팀</t>
        </is>
      </c>
      <c r="E34" s="8" t="inlineStr">
        <is>
          <t>교내 낙상 감지 알림 시스템</t>
        </is>
      </c>
      <c r="F34" s="8" t="inlineStr">
        <is>
          <t>2026-04-12</t>
        </is>
      </c>
      <c r="G34" s="8" t="inlineStr">
        <is>
          <t>https://docs.google.com/document/d/dummy_T-수원-08-04</t>
        </is>
      </c>
      <c r="H34" s="8" t="n">
        <v>69</v>
      </c>
      <c r="I34" s="8" t="n">
        <v>63</v>
      </c>
      <c r="J34" s="8" t="n">
        <v>60</v>
      </c>
      <c r="K34" s="8" t="n">
        <v>43</v>
      </c>
      <c r="L34" s="8" t="n">
        <v>24</v>
      </c>
      <c r="M34" s="8">
        <f>ROUND(AVERAGE(H34:L34),1)</f>
        <v/>
      </c>
      <c r="N34" s="11" t="inlineStr">
        <is>
          <t>정상</t>
        </is>
      </c>
      <c r="O34" s="10" t="inlineStr"/>
    </row>
    <row r="35" ht="26" customHeight="1">
      <c r="A35" s="5" t="inlineStr">
        <is>
          <t>T-청주-09-01</t>
        </is>
      </c>
      <c r="B35" s="5" t="inlineStr">
        <is>
          <t>청주</t>
        </is>
      </c>
      <c r="C35" s="5" t="inlineStr">
        <is>
          <t>청주 로봇중학교</t>
        </is>
      </c>
      <c r="D35" s="5" t="inlineStr">
        <is>
          <t>AI 패트롤 1팀</t>
        </is>
      </c>
      <c r="E35" s="5" t="inlineStr">
        <is>
          <t>가스 감지 AI 순찰 로봇</t>
        </is>
      </c>
      <c r="F35" s="5" t="inlineStr">
        <is>
          <t>2026-04-06</t>
        </is>
      </c>
      <c r="G35" s="5" t="inlineStr">
        <is>
          <t>https://docs.google.com/document/d/dummy_T-청주-09-01</t>
        </is>
      </c>
      <c r="H35" s="5" t="n">
        <v>42</v>
      </c>
      <c r="I35" s="5" t="n">
        <v>36</v>
      </c>
      <c r="J35" s="5" t="n">
        <v>45</v>
      </c>
      <c r="K35" s="5" t="n">
        <v>37</v>
      </c>
      <c r="L35" s="5" t="n">
        <v>36</v>
      </c>
      <c r="M35" s="5">
        <f>ROUND(AVERAGE(H35:L35),1)</f>
        <v/>
      </c>
      <c r="N35" s="6" t="inlineStr">
        <is>
          <t>위험</t>
        </is>
      </c>
      <c r="O35" s="7" t="inlineStr">
        <is>
          <t>7일 이상 미업데이트, 팀 연락 요망</t>
        </is>
      </c>
    </row>
    <row r="36" ht="26" customHeight="1">
      <c r="A36" s="8" t="inlineStr">
        <is>
          <t>T-청주-09-02</t>
        </is>
      </c>
      <c r="B36" s="8" t="inlineStr">
        <is>
          <t>청주</t>
        </is>
      </c>
      <c r="C36" s="8" t="inlineStr">
        <is>
          <t>청주 로봇중학교</t>
        </is>
      </c>
      <c r="D36" s="8" t="inlineStr">
        <is>
          <t>해치 2팀</t>
        </is>
      </c>
      <c r="E36" s="8" t="inlineStr">
        <is>
          <t>시각장애인 안내 AI 반려견</t>
        </is>
      </c>
      <c r="F36" s="8" t="inlineStr">
        <is>
          <t>2026-04-10</t>
        </is>
      </c>
      <c r="G36" s="8" t="inlineStr">
        <is>
          <t>https://docs.google.com/document/d/dummy_T-청주-09-02</t>
        </is>
      </c>
      <c r="H36" s="8" t="n">
        <v>65</v>
      </c>
      <c r="I36" s="8" t="n">
        <v>52</v>
      </c>
      <c r="J36" s="8" t="n">
        <v>52</v>
      </c>
      <c r="K36" s="8" t="n">
        <v>34</v>
      </c>
      <c r="L36" s="8" t="n">
        <v>29</v>
      </c>
      <c r="M36" s="8">
        <f>ROUND(AVERAGE(H36:L36),1)</f>
        <v/>
      </c>
      <c r="N36" s="9" t="inlineStr">
        <is>
          <t>주의</t>
        </is>
      </c>
      <c r="O36" s="10" t="inlineStr">
        <is>
          <t>센서 선정 단계에서 질문 많음, 추가 안내 예정</t>
        </is>
      </c>
    </row>
    <row r="37" ht="26" customHeight="1">
      <c r="A37" s="5" t="inlineStr">
        <is>
          <t>T-청주-09-03</t>
        </is>
      </c>
      <c r="B37" s="5" t="inlineStr">
        <is>
          <t>청주</t>
        </is>
      </c>
      <c r="C37" s="5" t="inlineStr">
        <is>
          <t>청주 로봇중학교</t>
        </is>
      </c>
      <c r="D37" s="5" t="inlineStr">
        <is>
          <t>에코봇 3팀</t>
        </is>
      </c>
      <c r="E37" s="5" t="inlineStr">
        <is>
          <t>학교 쓰레기 분류 자동화 로봇</t>
        </is>
      </c>
      <c r="F37" s="5" t="inlineStr">
        <is>
          <t>2026-03-31</t>
        </is>
      </c>
      <c r="G37" s="5" t="inlineStr">
        <is>
          <t>https://docs.google.com/document/d/dummy_T-청주-09-03</t>
        </is>
      </c>
      <c r="H37" s="5" t="n">
        <v>43</v>
      </c>
      <c r="I37" s="5" t="n">
        <v>43</v>
      </c>
      <c r="J37" s="5" t="n">
        <v>52</v>
      </c>
      <c r="K37" s="5" t="n">
        <v>36</v>
      </c>
      <c r="L37" s="5" t="n">
        <v>9</v>
      </c>
      <c r="M37" s="5">
        <f>ROUND(AVERAGE(H37:L37),1)</f>
        <v/>
      </c>
      <c r="N37" s="6" t="inlineStr">
        <is>
          <t>위험</t>
        </is>
      </c>
      <c r="O37" s="7" t="inlineStr">
        <is>
          <t>7일 이상 미업데이트, 팀 연락 요망</t>
        </is>
      </c>
    </row>
    <row r="38" ht="26" customHeight="1">
      <c r="A38" s="8" t="inlineStr">
        <is>
          <t>T-청주-09-04</t>
        </is>
      </c>
      <c r="B38" s="8" t="inlineStr">
        <is>
          <t>청주</t>
        </is>
      </c>
      <c r="C38" s="8" t="inlineStr">
        <is>
          <t>청주 로봇중학교</t>
        </is>
      </c>
      <c r="D38" s="8" t="inlineStr">
        <is>
          <t>세이프티 4팀</t>
        </is>
      </c>
      <c r="E38" s="8" t="inlineStr">
        <is>
          <t>교내 낙상 감지 알림 시스템</t>
        </is>
      </c>
      <c r="F38" s="8" t="inlineStr">
        <is>
          <t>2026-04-03</t>
        </is>
      </c>
      <c r="G38" s="8" t="inlineStr">
        <is>
          <t>https://docs.google.com/document/d/dummy_T-청주-09-04</t>
        </is>
      </c>
      <c r="H38" s="8" t="n">
        <v>72</v>
      </c>
      <c r="I38" s="8" t="n">
        <v>70</v>
      </c>
      <c r="J38" s="8" t="n">
        <v>74</v>
      </c>
      <c r="K38" s="8" t="n">
        <v>43</v>
      </c>
      <c r="L38" s="8" t="n">
        <v>44</v>
      </c>
      <c r="M38" s="8">
        <f>ROUND(AVERAGE(H38:L38),1)</f>
        <v/>
      </c>
      <c r="N38" s="6" t="inlineStr">
        <is>
          <t>위험</t>
        </is>
      </c>
      <c r="O38" s="10" t="inlineStr">
        <is>
          <t>M2 기능 우선순위표 미완성, 보완 지도 요청</t>
        </is>
      </c>
    </row>
    <row r="39" ht="26" customHeight="1">
      <c r="A39" s="5" t="inlineStr">
        <is>
          <t>T-전주-10-01</t>
        </is>
      </c>
      <c r="B39" s="5" t="inlineStr">
        <is>
          <t>전주</t>
        </is>
      </c>
      <c r="C39" s="5" t="inlineStr">
        <is>
          <t>전주 메이커중학교</t>
        </is>
      </c>
      <c r="D39" s="5" t="inlineStr">
        <is>
          <t>AI 패트롤 1팀</t>
        </is>
      </c>
      <c r="E39" s="5" t="inlineStr">
        <is>
          <t>가스 감지 AI 순찰 로봇</t>
        </is>
      </c>
      <c r="F39" s="5" t="inlineStr">
        <is>
          <t>2026-04-05</t>
        </is>
      </c>
      <c r="G39" s="5" t="inlineStr">
        <is>
          <t>https://docs.google.com/document/d/dummy_T-전주-10-01</t>
        </is>
      </c>
      <c r="H39" s="5" t="n">
        <v>79</v>
      </c>
      <c r="I39" s="5" t="n">
        <v>83</v>
      </c>
      <c r="J39" s="5" t="n">
        <v>71</v>
      </c>
      <c r="K39" s="5" t="n">
        <v>48</v>
      </c>
      <c r="L39" s="5" t="n">
        <v>60</v>
      </c>
      <c r="M39" s="5">
        <f>ROUND(AVERAGE(H39:L39),1)</f>
        <v/>
      </c>
      <c r="N39" s="6" t="inlineStr">
        <is>
          <t>위험</t>
        </is>
      </c>
      <c r="O39" s="7" t="inlineStr">
        <is>
          <t>7일 이상 미업데이트, 팀 연락 요망</t>
        </is>
      </c>
    </row>
    <row r="40" ht="26" customHeight="1">
      <c r="A40" s="8" t="inlineStr">
        <is>
          <t>T-전주-10-02</t>
        </is>
      </c>
      <c r="B40" s="8" t="inlineStr">
        <is>
          <t>전주</t>
        </is>
      </c>
      <c r="C40" s="8" t="inlineStr">
        <is>
          <t>전주 메이커중학교</t>
        </is>
      </c>
      <c r="D40" s="8" t="inlineStr">
        <is>
          <t>해치 2팀</t>
        </is>
      </c>
      <c r="E40" s="8" t="inlineStr">
        <is>
          <t>시각장애인 안내 AI 반려견</t>
        </is>
      </c>
      <c r="F40" s="8" t="inlineStr">
        <is>
          <t>2026-04-04</t>
        </is>
      </c>
      <c r="G40" s="8" t="inlineStr">
        <is>
          <t>https://docs.google.com/document/d/dummy_T-전주-10-02</t>
        </is>
      </c>
      <c r="H40" s="8" t="n">
        <v>48</v>
      </c>
      <c r="I40" s="8" t="n">
        <v>41</v>
      </c>
      <c r="J40" s="8" t="n">
        <v>31</v>
      </c>
      <c r="K40" s="8" t="n">
        <v>44</v>
      </c>
      <c r="L40" s="8" t="n">
        <v>4</v>
      </c>
      <c r="M40" s="8">
        <f>ROUND(AVERAGE(H40:L40),1)</f>
        <v/>
      </c>
      <c r="N40" s="6" t="inlineStr">
        <is>
          <t>위험</t>
        </is>
      </c>
      <c r="O40" s="10" t="inlineStr">
        <is>
          <t>팀 내 역할 분담 미정, 조율 지원 필요</t>
        </is>
      </c>
    </row>
    <row r="41" ht="26" customHeight="1">
      <c r="A41" s="5" t="inlineStr">
        <is>
          <t>T-전주-10-03</t>
        </is>
      </c>
      <c r="B41" s="5" t="inlineStr">
        <is>
          <t>전주</t>
        </is>
      </c>
      <c r="C41" s="5" t="inlineStr">
        <is>
          <t>전주 메이커중학교</t>
        </is>
      </c>
      <c r="D41" s="5" t="inlineStr">
        <is>
          <t>에코봇 3팀</t>
        </is>
      </c>
      <c r="E41" s="5" t="inlineStr">
        <is>
          <t>학교 쓰레기 분류 자동화 로봇</t>
        </is>
      </c>
      <c r="F41" s="5" t="inlineStr">
        <is>
          <t>2026-04-14</t>
        </is>
      </c>
      <c r="G41" s="5" t="inlineStr">
        <is>
          <t>https://docs.google.com/document/d/dummy_T-전주-10-03</t>
        </is>
      </c>
      <c r="H41" s="5" t="n">
        <v>56</v>
      </c>
      <c r="I41" s="5" t="n">
        <v>43</v>
      </c>
      <c r="J41" s="5" t="n">
        <v>26</v>
      </c>
      <c r="K41" s="5" t="n">
        <v>24</v>
      </c>
      <c r="L41" s="5" t="n">
        <v>43</v>
      </c>
      <c r="M41" s="5">
        <f>ROUND(AVERAGE(H41:L41),1)</f>
        <v/>
      </c>
      <c r="N41" s="6" t="inlineStr">
        <is>
          <t>위험</t>
        </is>
      </c>
      <c r="O41" s="7" t="inlineStr">
        <is>
          <t>M3 디버그 로그 미작성 — 개별 면담 필요</t>
        </is>
      </c>
    </row>
    <row r="42" ht="26" customHeight="1">
      <c r="A42" s="8" t="inlineStr">
        <is>
          <t>T-전주-10-04</t>
        </is>
      </c>
      <c r="B42" s="8" t="inlineStr">
        <is>
          <t>전주</t>
        </is>
      </c>
      <c r="C42" s="8" t="inlineStr">
        <is>
          <t>전주 메이커중학교</t>
        </is>
      </c>
      <c r="D42" s="8" t="inlineStr">
        <is>
          <t>세이프티 4팀</t>
        </is>
      </c>
      <c r="E42" s="8" t="inlineStr">
        <is>
          <t>교내 낙상 감지 알림 시스템</t>
        </is>
      </c>
      <c r="F42" s="8" t="inlineStr">
        <is>
          <t>2026-04-08</t>
        </is>
      </c>
      <c r="G42" s="8" t="inlineStr">
        <is>
          <t>https://docs.google.com/document/d/dummy_T-전주-10-04</t>
        </is>
      </c>
      <c r="H42" s="8" t="n">
        <v>49</v>
      </c>
      <c r="I42" s="8" t="n">
        <v>42</v>
      </c>
      <c r="J42" s="8" t="n">
        <v>37</v>
      </c>
      <c r="K42" s="8" t="n">
        <v>12</v>
      </c>
      <c r="L42" s="8" t="n">
        <v>38</v>
      </c>
      <c r="M42" s="8">
        <f>ROUND(AVERAGE(H42:L42),1)</f>
        <v/>
      </c>
      <c r="N42" s="9" t="inlineStr">
        <is>
          <t>주의</t>
        </is>
      </c>
      <c r="O42" s="10" t="inlineStr">
        <is>
          <t>진도 다소 지연, 이번 주 체크인 예정</t>
        </is>
      </c>
    </row>
  </sheetData>
  <mergeCells count="3">
    <mergeCell ref="N1:O1"/>
    <mergeCell ref="H1:M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8" customWidth="1" min="12" max="12"/>
  </cols>
  <sheetData>
    <row r="1">
      <c r="A1" s="12" t="inlineStr">
        <is>
          <t>지역</t>
        </is>
      </c>
      <c r="B1" s="12" t="inlineStr">
        <is>
          <t>학교명</t>
        </is>
      </c>
      <c r="C1" s="12" t="inlineStr">
        <is>
          <t>팀수</t>
        </is>
      </c>
      <c r="D1" s="12" t="inlineStr">
        <is>
          <t>M1_avg</t>
        </is>
      </c>
      <c r="E1" s="12" t="inlineStr">
        <is>
          <t>M2_avg</t>
        </is>
      </c>
      <c r="F1" s="12" t="inlineStr">
        <is>
          <t>M3_avg</t>
        </is>
      </c>
      <c r="G1" s="12" t="inlineStr">
        <is>
          <t>M4_avg</t>
        </is>
      </c>
      <c r="H1" s="12" t="inlineStr">
        <is>
          <t>M5_avg</t>
        </is>
      </c>
      <c r="I1" s="12" t="inlineStr">
        <is>
          <t>전체진척도_avg</t>
        </is>
      </c>
      <c r="J1" s="12" t="inlineStr">
        <is>
          <t>위험팀</t>
        </is>
      </c>
      <c r="K1" s="12" t="inlineStr">
        <is>
          <t>주의팀</t>
        </is>
      </c>
      <c r="L1" s="12" t="inlineStr">
        <is>
          <t>정상팀</t>
        </is>
      </c>
    </row>
    <row r="2">
      <c r="A2" s="13" t="inlineStr">
        <is>
          <t>서울</t>
        </is>
      </c>
      <c r="B2" s="13" t="inlineStr">
        <is>
          <t>서울 디지털중학교</t>
        </is>
      </c>
      <c r="C2" s="13" t="n">
        <v>4</v>
      </c>
      <c r="D2" s="13">
        <f>ROUND(AVERAGE(MASTER_DATA!H3:H6),1)</f>
        <v/>
      </c>
      <c r="E2" s="13">
        <f>ROUND(AVERAGE(MASTER_DATA!I3:I6),1)</f>
        <v/>
      </c>
      <c r="F2" s="13">
        <f>ROUND(AVERAGE(MASTER_DATA!J3:J6),1)</f>
        <v/>
      </c>
      <c r="G2" s="13">
        <f>ROUND(AVERAGE(MASTER_DATA!K3:K6),1)</f>
        <v/>
      </c>
      <c r="H2" s="13">
        <f>ROUND(AVERAGE(MASTER_DATA!L3:L6),1)</f>
        <v/>
      </c>
      <c r="I2" s="13">
        <f>ROUND(AVERAGE(MASTER_DATA!M3:M6),1)</f>
        <v/>
      </c>
      <c r="J2" s="13">
        <f>COUNTIF(MASTER_DATA!N3:N6,"위험")</f>
        <v/>
      </c>
      <c r="K2" s="13">
        <f>COUNTIF(MASTER_DATA!N3:N6,"주의")</f>
        <v/>
      </c>
      <c r="L2" s="13">
        <f>COUNTIF(MASTER_DATA!N3:N6,"정상")</f>
        <v/>
      </c>
    </row>
    <row r="3">
      <c r="A3" s="14" t="inlineStr">
        <is>
          <t>부산</t>
        </is>
      </c>
      <c r="B3" s="14" t="inlineStr">
        <is>
          <t>부산 AI창의중학교</t>
        </is>
      </c>
      <c r="C3" s="14" t="n">
        <v>4</v>
      </c>
      <c r="D3" s="14">
        <f>ROUND(AVERAGE(MASTER_DATA!H7:H10),1)</f>
        <v/>
      </c>
      <c r="E3" s="14">
        <f>ROUND(AVERAGE(MASTER_DATA!I7:I10),1)</f>
        <v/>
      </c>
      <c r="F3" s="14">
        <f>ROUND(AVERAGE(MASTER_DATA!J7:J10),1)</f>
        <v/>
      </c>
      <c r="G3" s="14">
        <f>ROUND(AVERAGE(MASTER_DATA!K7:K10),1)</f>
        <v/>
      </c>
      <c r="H3" s="14">
        <f>ROUND(AVERAGE(MASTER_DATA!L7:L10),1)</f>
        <v/>
      </c>
      <c r="I3" s="14">
        <f>ROUND(AVERAGE(MASTER_DATA!M7:M10),1)</f>
        <v/>
      </c>
      <c r="J3" s="14">
        <f>COUNTIF(MASTER_DATA!N7:N10,"위험")</f>
        <v/>
      </c>
      <c r="K3" s="14">
        <f>COUNTIF(MASTER_DATA!N7:N10,"주의")</f>
        <v/>
      </c>
      <c r="L3" s="14">
        <f>COUNTIF(MASTER_DATA!N7:N10,"정상")</f>
        <v/>
      </c>
    </row>
    <row r="4">
      <c r="A4" s="13" t="inlineStr">
        <is>
          <t>대구</t>
        </is>
      </c>
      <c r="B4" s="13" t="inlineStr">
        <is>
          <t>대구 미래중학교</t>
        </is>
      </c>
      <c r="C4" s="13" t="n">
        <v>4</v>
      </c>
      <c r="D4" s="13">
        <f>ROUND(AVERAGE(MASTER_DATA!H11:H14),1)</f>
        <v/>
      </c>
      <c r="E4" s="13">
        <f>ROUND(AVERAGE(MASTER_DATA!I11:I14),1)</f>
        <v/>
      </c>
      <c r="F4" s="13">
        <f>ROUND(AVERAGE(MASTER_DATA!J11:J14),1)</f>
        <v/>
      </c>
      <c r="G4" s="13">
        <f>ROUND(AVERAGE(MASTER_DATA!K11:K14),1)</f>
        <v/>
      </c>
      <c r="H4" s="13">
        <f>ROUND(AVERAGE(MASTER_DATA!L11:L14),1)</f>
        <v/>
      </c>
      <c r="I4" s="13">
        <f>ROUND(AVERAGE(MASTER_DATA!M11:M14),1)</f>
        <v/>
      </c>
      <c r="J4" s="13">
        <f>COUNTIF(MASTER_DATA!N11:N14,"위험")</f>
        <v/>
      </c>
      <c r="K4" s="13">
        <f>COUNTIF(MASTER_DATA!N11:N14,"주의")</f>
        <v/>
      </c>
      <c r="L4" s="13">
        <f>COUNTIF(MASTER_DATA!N11:N14,"정상")</f>
        <v/>
      </c>
    </row>
    <row r="5">
      <c r="A5" s="14" t="inlineStr">
        <is>
          <t>인천</t>
        </is>
      </c>
      <c r="B5" s="14" t="inlineStr">
        <is>
          <t>인천 스마트중학교</t>
        </is>
      </c>
      <c r="C5" s="14" t="n">
        <v>4</v>
      </c>
      <c r="D5" s="14">
        <f>ROUND(AVERAGE(MASTER_DATA!H15:H18),1)</f>
        <v/>
      </c>
      <c r="E5" s="14">
        <f>ROUND(AVERAGE(MASTER_DATA!I15:I18),1)</f>
        <v/>
      </c>
      <c r="F5" s="14">
        <f>ROUND(AVERAGE(MASTER_DATA!J15:J18),1)</f>
        <v/>
      </c>
      <c r="G5" s="14">
        <f>ROUND(AVERAGE(MASTER_DATA!K15:K18),1)</f>
        <v/>
      </c>
      <c r="H5" s="14">
        <f>ROUND(AVERAGE(MASTER_DATA!L15:L18),1)</f>
        <v/>
      </c>
      <c r="I5" s="14">
        <f>ROUND(AVERAGE(MASTER_DATA!M15:M18),1)</f>
        <v/>
      </c>
      <c r="J5" s="14">
        <f>COUNTIF(MASTER_DATA!N15:N18,"위험")</f>
        <v/>
      </c>
      <c r="K5" s="14">
        <f>COUNTIF(MASTER_DATA!N15:N18,"주의")</f>
        <v/>
      </c>
      <c r="L5" s="14">
        <f>COUNTIF(MASTER_DATA!N15:N18,"정상")</f>
        <v/>
      </c>
    </row>
    <row r="6">
      <c r="A6" s="13" t="inlineStr">
        <is>
          <t>광주</t>
        </is>
      </c>
      <c r="B6" s="13" t="inlineStr">
        <is>
          <t>광주 소프트중학교</t>
        </is>
      </c>
      <c r="C6" s="13" t="n">
        <v>4</v>
      </c>
      <c r="D6" s="13">
        <f>ROUND(AVERAGE(MASTER_DATA!H19:H22),1)</f>
        <v/>
      </c>
      <c r="E6" s="13">
        <f>ROUND(AVERAGE(MASTER_DATA!I19:I22),1)</f>
        <v/>
      </c>
      <c r="F6" s="13">
        <f>ROUND(AVERAGE(MASTER_DATA!J19:J22),1)</f>
        <v/>
      </c>
      <c r="G6" s="13">
        <f>ROUND(AVERAGE(MASTER_DATA!K19:K22),1)</f>
        <v/>
      </c>
      <c r="H6" s="13">
        <f>ROUND(AVERAGE(MASTER_DATA!L19:L22),1)</f>
        <v/>
      </c>
      <c r="I6" s="13">
        <f>ROUND(AVERAGE(MASTER_DATA!M19:M22),1)</f>
        <v/>
      </c>
      <c r="J6" s="13">
        <f>COUNTIF(MASTER_DATA!N19:N22,"위험")</f>
        <v/>
      </c>
      <c r="K6" s="13">
        <f>COUNTIF(MASTER_DATA!N19:N22,"주의")</f>
        <v/>
      </c>
      <c r="L6" s="13">
        <f>COUNTIF(MASTER_DATA!N19:N22,"정상")</f>
        <v/>
      </c>
    </row>
    <row r="7">
      <c r="A7" s="14" t="inlineStr">
        <is>
          <t>대전</t>
        </is>
      </c>
      <c r="B7" s="14" t="inlineStr">
        <is>
          <t>대전 테크중학교</t>
        </is>
      </c>
      <c r="C7" s="14" t="n">
        <v>4</v>
      </c>
      <c r="D7" s="14">
        <f>ROUND(AVERAGE(MASTER_DATA!H23:H26),1)</f>
        <v/>
      </c>
      <c r="E7" s="14">
        <f>ROUND(AVERAGE(MASTER_DATA!I23:I26),1)</f>
        <v/>
      </c>
      <c r="F7" s="14">
        <f>ROUND(AVERAGE(MASTER_DATA!J23:J26),1)</f>
        <v/>
      </c>
      <c r="G7" s="14">
        <f>ROUND(AVERAGE(MASTER_DATA!K23:K26),1)</f>
        <v/>
      </c>
      <c r="H7" s="14">
        <f>ROUND(AVERAGE(MASTER_DATA!L23:L26),1)</f>
        <v/>
      </c>
      <c r="I7" s="14">
        <f>ROUND(AVERAGE(MASTER_DATA!M23:M26),1)</f>
        <v/>
      </c>
      <c r="J7" s="14">
        <f>COUNTIF(MASTER_DATA!N23:N26,"위험")</f>
        <v/>
      </c>
      <c r="K7" s="14">
        <f>COUNTIF(MASTER_DATA!N23:N26,"주의")</f>
        <v/>
      </c>
      <c r="L7" s="14">
        <f>COUNTIF(MASTER_DATA!N23:N26,"정상")</f>
        <v/>
      </c>
    </row>
    <row r="8">
      <c r="A8" s="13" t="inlineStr">
        <is>
          <t>울산</t>
        </is>
      </c>
      <c r="B8" s="13" t="inlineStr">
        <is>
          <t>울산 코딩중학교</t>
        </is>
      </c>
      <c r="C8" s="13" t="n">
        <v>4</v>
      </c>
      <c r="D8" s="13">
        <f>ROUND(AVERAGE(MASTER_DATA!H27:H30),1)</f>
        <v/>
      </c>
      <c r="E8" s="13">
        <f>ROUND(AVERAGE(MASTER_DATA!I27:I30),1)</f>
        <v/>
      </c>
      <c r="F8" s="13">
        <f>ROUND(AVERAGE(MASTER_DATA!J27:J30),1)</f>
        <v/>
      </c>
      <c r="G8" s="13">
        <f>ROUND(AVERAGE(MASTER_DATA!K27:K30),1)</f>
        <v/>
      </c>
      <c r="H8" s="13">
        <f>ROUND(AVERAGE(MASTER_DATA!L27:L30),1)</f>
        <v/>
      </c>
      <c r="I8" s="13">
        <f>ROUND(AVERAGE(MASTER_DATA!M27:M30),1)</f>
        <v/>
      </c>
      <c r="J8" s="13">
        <f>COUNTIF(MASTER_DATA!N27:N30,"위험")</f>
        <v/>
      </c>
      <c r="K8" s="13">
        <f>COUNTIF(MASTER_DATA!N27:N30,"주의")</f>
        <v/>
      </c>
      <c r="L8" s="13">
        <f>COUNTIF(MASTER_DATA!N27:N30,"정상")</f>
        <v/>
      </c>
    </row>
    <row r="9">
      <c r="A9" s="14" t="inlineStr">
        <is>
          <t>수원</t>
        </is>
      </c>
      <c r="B9" s="14" t="inlineStr">
        <is>
          <t>수원 데이터중학교</t>
        </is>
      </c>
      <c r="C9" s="14" t="n">
        <v>4</v>
      </c>
      <c r="D9" s="14">
        <f>ROUND(AVERAGE(MASTER_DATA!H31:H34),1)</f>
        <v/>
      </c>
      <c r="E9" s="14">
        <f>ROUND(AVERAGE(MASTER_DATA!I31:I34),1)</f>
        <v/>
      </c>
      <c r="F9" s="14">
        <f>ROUND(AVERAGE(MASTER_DATA!J31:J34),1)</f>
        <v/>
      </c>
      <c r="G9" s="14">
        <f>ROUND(AVERAGE(MASTER_DATA!K31:K34),1)</f>
        <v/>
      </c>
      <c r="H9" s="14">
        <f>ROUND(AVERAGE(MASTER_DATA!L31:L34),1)</f>
        <v/>
      </c>
      <c r="I9" s="14">
        <f>ROUND(AVERAGE(MASTER_DATA!M31:M34),1)</f>
        <v/>
      </c>
      <c r="J9" s="14">
        <f>COUNTIF(MASTER_DATA!N31:N34,"위험")</f>
        <v/>
      </c>
      <c r="K9" s="14">
        <f>COUNTIF(MASTER_DATA!N31:N34,"주의")</f>
        <v/>
      </c>
      <c r="L9" s="14">
        <f>COUNTIF(MASTER_DATA!N31:N34,"정상")</f>
        <v/>
      </c>
    </row>
    <row r="10">
      <c r="A10" s="13" t="inlineStr">
        <is>
          <t>청주</t>
        </is>
      </c>
      <c r="B10" s="13" t="inlineStr">
        <is>
          <t>청주 로봇중학교</t>
        </is>
      </c>
      <c r="C10" s="13" t="n">
        <v>4</v>
      </c>
      <c r="D10" s="13">
        <f>ROUND(AVERAGE(MASTER_DATA!H35:H38),1)</f>
        <v/>
      </c>
      <c r="E10" s="13">
        <f>ROUND(AVERAGE(MASTER_DATA!I35:I38),1)</f>
        <v/>
      </c>
      <c r="F10" s="13">
        <f>ROUND(AVERAGE(MASTER_DATA!J35:J38),1)</f>
        <v/>
      </c>
      <c r="G10" s="13">
        <f>ROUND(AVERAGE(MASTER_DATA!K35:K38),1)</f>
        <v/>
      </c>
      <c r="H10" s="13">
        <f>ROUND(AVERAGE(MASTER_DATA!L35:L38),1)</f>
        <v/>
      </c>
      <c r="I10" s="13">
        <f>ROUND(AVERAGE(MASTER_DATA!M35:M38),1)</f>
        <v/>
      </c>
      <c r="J10" s="13">
        <f>COUNTIF(MASTER_DATA!N35:N38,"위험")</f>
        <v/>
      </c>
      <c r="K10" s="13">
        <f>COUNTIF(MASTER_DATA!N35:N38,"주의")</f>
        <v/>
      </c>
      <c r="L10" s="13">
        <f>COUNTIF(MASTER_DATA!N35:N38,"정상")</f>
        <v/>
      </c>
    </row>
    <row r="11">
      <c r="A11" s="14" t="inlineStr">
        <is>
          <t>전주</t>
        </is>
      </c>
      <c r="B11" s="14" t="inlineStr">
        <is>
          <t>전주 메이커중학교</t>
        </is>
      </c>
      <c r="C11" s="14" t="n">
        <v>4</v>
      </c>
      <c r="D11" s="14">
        <f>ROUND(AVERAGE(MASTER_DATA!H39:H42),1)</f>
        <v/>
      </c>
      <c r="E11" s="14">
        <f>ROUND(AVERAGE(MASTER_DATA!I39:I42),1)</f>
        <v/>
      </c>
      <c r="F11" s="14">
        <f>ROUND(AVERAGE(MASTER_DATA!J39:J42),1)</f>
        <v/>
      </c>
      <c r="G11" s="14">
        <f>ROUND(AVERAGE(MASTER_DATA!K39:K42),1)</f>
        <v/>
      </c>
      <c r="H11" s="14">
        <f>ROUND(AVERAGE(MASTER_DATA!L39:L42),1)</f>
        <v/>
      </c>
      <c r="I11" s="14">
        <f>ROUND(AVERAGE(MASTER_DATA!M39:M42),1)</f>
        <v/>
      </c>
      <c r="J11" s="14">
        <f>COUNTIF(MASTER_DATA!N39:N42,"위험")</f>
        <v/>
      </c>
      <c r="K11" s="14">
        <f>COUNTIF(MASTER_DATA!N39:N42,"주의")</f>
        <v/>
      </c>
      <c r="L11" s="14">
        <f>COUNTIF(MASTER_DATA!N39:N42,"정상")</f>
        <v/>
      </c>
    </row>
    <row r="12">
      <c r="A12" s="15" t="inlineStr">
        <is>
          <t>전체</t>
        </is>
      </c>
      <c r="B12" s="15" t="inlineStr">
        <is>
          <t>합계/평균</t>
        </is>
      </c>
      <c r="C12" s="15">
        <f>SUM(C2:C11)</f>
        <v/>
      </c>
      <c r="D12" s="15">
        <f>ROUND(AVERAGE(D2:D11),1)</f>
        <v/>
      </c>
      <c r="E12" s="15">
        <f>ROUND(AVERAGE(E2:E11),1)</f>
        <v/>
      </c>
      <c r="F12" s="15">
        <f>ROUND(AVERAGE(F2:F11),1)</f>
        <v/>
      </c>
      <c r="G12" s="15">
        <f>ROUND(AVERAGE(G2:G11),1)</f>
        <v/>
      </c>
      <c r="H12" s="15">
        <f>ROUND(AVERAGE(H2:H11),1)</f>
        <v/>
      </c>
      <c r="I12" s="15">
        <f>ROUND(AVERAGE(I2:I11),1)</f>
        <v/>
      </c>
      <c r="J12" s="15">
        <f>SUM(J2:J11)</f>
        <v/>
      </c>
      <c r="K12" s="15">
        <f>SUM(K2:K11)</f>
        <v/>
      </c>
      <c r="L12" s="15">
        <f>SUM(L2:L11)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2026-04-14T05:25:57Z</dcterms:created>
  <dcterms:modified xmlns:dcterms="http://purl.org/dc/terms/" xmlns:xsi="http://www.w3.org/2001/XMLSchema-instance" xsi:type="dcterms:W3CDTF">2026-04-14T05:25:58Z</dcterms:modified>
</cp:coreProperties>
</file>